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en\Desktop\pauvfeb2026\"/>
    </mc:Choice>
  </mc:AlternateContent>
  <xr:revisionPtr revIDLastSave="0" documentId="13_ncr:1_{E79F8FB6-B248-4A81-AB93-F7B141A4B0DE}" xr6:coauthVersionLast="47" xr6:coauthVersionMax="47" xr10:uidLastSave="{00000000-0000-0000-0000-000000000000}"/>
  <bookViews>
    <workbookView xWindow="-108" yWindow="-13068" windowWidth="23256" windowHeight="12456" xr2:uid="{5E8491D6-7D25-4ABD-8652-15E2B468F991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4" l="1"/>
  <c r="E5" i="4" s="1"/>
  <c r="E6" i="4" s="1"/>
  <c r="E7" i="4" s="1"/>
  <c r="B4" i="4"/>
  <c r="D4" i="4" s="1"/>
  <c r="C4" i="4" s="1"/>
  <c r="B5" i="4" l="1"/>
  <c r="D5" i="4" s="1"/>
  <c r="C5" i="4" s="1"/>
  <c r="B6" i="4" l="1"/>
  <c r="D6" i="4" s="1"/>
  <c r="C6" i="4" s="1"/>
  <c r="B7" i="4" s="1"/>
  <c r="D7" i="4" l="1"/>
  <c r="C7" i="4" s="1"/>
  <c r="C9" i="4" s="1"/>
</calcChain>
</file>

<file path=xl/sharedStrings.xml><?xml version="1.0" encoding="utf-8"?>
<sst xmlns="http://schemas.openxmlformats.org/spreadsheetml/2006/main" count="111" uniqueCount="91">
  <si>
    <t>Google sign in</t>
  </si>
  <si>
    <t>Email sign in</t>
  </si>
  <si>
    <t>Top Site</t>
  </si>
  <si>
    <t>Issuers</t>
  </si>
  <si>
    <t>Request</t>
  </si>
  <si>
    <t>Account</t>
  </si>
  <si>
    <t>Cards view</t>
  </si>
  <si>
    <t>Table View</t>
  </si>
  <si>
    <t>By tag (only 2)</t>
  </si>
  <si>
    <t>Search Bar</t>
  </si>
  <si>
    <t>Request to be issuer</t>
  </si>
  <si>
    <t>Assets</t>
  </si>
  <si>
    <t>Deposit</t>
  </si>
  <si>
    <t>About</t>
  </si>
  <si>
    <t>Log out/Log in</t>
  </si>
  <si>
    <t>AWS with Aplify for frontend</t>
  </si>
  <si>
    <t>Supabase for database backend, hosted on Supabase Cloud</t>
  </si>
  <si>
    <t>Issuer data</t>
  </si>
  <si>
    <t>About:</t>
  </si>
  <si>
    <t>Short bio</t>
  </si>
  <si>
    <t>Photo</t>
  </si>
  <si>
    <t>Headline</t>
  </si>
  <si>
    <t>Tag (just one)</t>
  </si>
  <si>
    <t>Full Name</t>
  </si>
  <si>
    <t>Ticker</t>
  </si>
  <si>
    <t>Data</t>
  </si>
  <si>
    <t>Current Price</t>
  </si>
  <si>
    <t>Number of tokens</t>
  </si>
  <si>
    <t>tag</t>
  </si>
  <si>
    <t>description</t>
  </si>
  <si>
    <t>actor</t>
  </si>
  <si>
    <t>athlete</t>
  </si>
  <si>
    <t>influencer</t>
  </si>
  <si>
    <t>musician</t>
  </si>
  <si>
    <t>author</t>
  </si>
  <si>
    <t>podcaster</t>
  </si>
  <si>
    <t>The icons of the screen and stage</t>
  </si>
  <si>
    <t>The powerhouses of peak performance</t>
  </si>
  <si>
    <t>The faces of social media and trends</t>
  </si>
  <si>
    <t>The voices of the global charts</t>
  </si>
  <si>
    <t>The visionaries of the written word</t>
  </si>
  <si>
    <t>The authorities of the modern conversation</t>
  </si>
  <si>
    <t>starting price</t>
  </si>
  <si>
    <t>Column Name</t>
  </si>
  <si>
    <t>Data Type</t>
  </si>
  <si>
    <t>Description</t>
  </si>
  <si>
    <t>VARCHAR</t>
  </si>
  <si>
    <t>Unique identifier or ticker (e.g., 'A', 'B', 'C').</t>
  </si>
  <si>
    <t>current_supply</t>
  </si>
  <si>
    <t>INTEGER</t>
  </si>
  <si>
    <t>Total number of tokens currently minted.</t>
  </si>
  <si>
    <t>base_price</t>
  </si>
  <si>
    <t>DECIMAL</t>
  </si>
  <si>
    <t>price_step</t>
  </si>
  <si>
    <t>current_price</t>
  </si>
  <si>
    <r>
      <t xml:space="preserve">The price of the </t>
    </r>
    <r>
      <rPr>
        <i/>
        <sz val="11"/>
        <color rgb="FF1F1F1F"/>
        <rFont val="Arial"/>
        <family val="2"/>
      </rPr>
      <t>next</t>
    </r>
    <r>
      <rPr>
        <sz val="11"/>
        <color rgb="FF1F1F1F"/>
        <rFont val="Arial"/>
        <family val="2"/>
      </rPr>
      <t xml:space="preserve"> token to be sold.</t>
    </r>
  </si>
  <si>
    <t>total_reserve</t>
  </si>
  <si>
    <t>updated_at</t>
  </si>
  <si>
    <t>TIMESTAMP</t>
  </si>
  <si>
    <t>When the last transaction occurred.</t>
  </si>
  <si>
    <t>ticker</t>
  </si>
  <si>
    <t>USDP that's been put in</t>
  </si>
  <si>
    <t>The starting price for the first token, $0.1</t>
  </si>
  <si>
    <t>The linear increment per token $0.01</t>
  </si>
  <si>
    <t>stepup</t>
  </si>
  <si>
    <t>date</t>
  </si>
  <si>
    <t>order size</t>
  </si>
  <si>
    <t>tokens received</t>
  </si>
  <si>
    <t>new price</t>
  </si>
  <si>
    <t>running supply</t>
  </si>
  <si>
    <t>total investment</t>
  </si>
  <si>
    <t>total_usdp</t>
  </si>
  <si>
    <t>status</t>
  </si>
  <si>
    <t>issuertrading:</t>
  </si>
  <si>
    <t>transactions:</t>
  </si>
  <si>
    <t>que:</t>
  </si>
  <si>
    <t>user_id</t>
  </si>
  <si>
    <t>amount_usdp</t>
  </si>
  <si>
    <t>order_type</t>
  </si>
  <si>
    <t>pv_traded</t>
  </si>
  <si>
    <t>avg_price_paid</t>
  </si>
  <si>
    <t>start_price</t>
  </si>
  <si>
    <t>end_price</t>
  </si>
  <si>
    <t>amount_pv</t>
  </si>
  <si>
    <t>users:</t>
  </si>
  <si>
    <t>username</t>
  </si>
  <si>
    <t>usdp_balance</t>
  </si>
  <si>
    <t>pv_amount</t>
  </si>
  <si>
    <t>portfolio:</t>
  </si>
  <si>
    <t>avg_cost_basis</t>
  </si>
  <si>
    <t>Soap 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</si>
</sst>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0000000000_);_(* \(#,##0.0000000000000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6" fontId="0" fillId="0" borderId="0" xfId="0" applyNumberFormat="1"/>
    <xf numFmtId="43" fontId="0" fillId="0" borderId="0" xfId="1" applyFont="1"/>
    <xf numFmtId="43" fontId="0" fillId="0" borderId="0" xfId="0" applyNumberFormat="1"/>
    <xf numFmtId="44" fontId="0" fillId="0" borderId="0" xfId="2" applyFont="1"/>
    <xf numFmtId="164" fontId="0" fillId="0" borderId="0" xfId="2" applyNumberFormat="1" applyFont="1"/>
    <xf numFmtId="44" fontId="0" fillId="0" borderId="0" xfId="0" applyNumberFormat="1"/>
    <xf numFmtId="9" fontId="0" fillId="0" borderId="0" xfId="3" applyFont="1"/>
    <xf numFmtId="165" fontId="0" fillId="0" borderId="0" xfId="1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650B0-1321-479B-B743-1617EA350E0C}">
  <dimension ref="B2:F26"/>
  <sheetViews>
    <sheetView tabSelected="1" topLeftCell="A14" zoomScale="175" zoomScaleNormal="175" workbookViewId="0">
      <selection activeCell="D21" sqref="D21"/>
    </sheetView>
  </sheetViews>
  <sheetFormatPr defaultRowHeight="14.5"/>
  <cols>
    <col min="2" max="2" width="15.54296875" customWidth="1"/>
    <col min="3" max="3" width="11.90625" customWidth="1"/>
    <col min="4" max="5" width="17.81640625" bestFit="1" customWidth="1"/>
    <col min="6" max="6" width="12.54296875" customWidth="1"/>
  </cols>
  <sheetData>
    <row r="2" spans="2:6">
      <c r="B2" t="s">
        <v>90</v>
      </c>
    </row>
    <row r="3" spans="2:6">
      <c r="B3" t="s">
        <v>0</v>
      </c>
    </row>
    <row r="4" spans="2:6">
      <c r="B4" t="s">
        <v>1</v>
      </c>
    </row>
    <row r="5" spans="2:6">
      <c r="B5" t="s">
        <v>16</v>
      </c>
    </row>
    <row r="6" spans="2:6">
      <c r="B6" t="s">
        <v>15</v>
      </c>
    </row>
    <row r="9" spans="2:6">
      <c r="B9" t="s">
        <v>2</v>
      </c>
    </row>
    <row r="10" spans="2:6">
      <c r="B10" t="s">
        <v>3</v>
      </c>
      <c r="C10" t="s">
        <v>9</v>
      </c>
      <c r="D10" t="s">
        <v>13</v>
      </c>
      <c r="E10" t="s">
        <v>4</v>
      </c>
      <c r="F10" t="s">
        <v>5</v>
      </c>
    </row>
    <row r="11" spans="2:6">
      <c r="B11" t="s">
        <v>6</v>
      </c>
      <c r="E11" t="s">
        <v>10</v>
      </c>
      <c r="F11" t="s">
        <v>14</v>
      </c>
    </row>
    <row r="12" spans="2:6">
      <c r="B12" t="s">
        <v>7</v>
      </c>
      <c r="F12" t="s">
        <v>11</v>
      </c>
    </row>
    <row r="13" spans="2:6">
      <c r="B13" t="s">
        <v>8</v>
      </c>
      <c r="F13" t="s">
        <v>12</v>
      </c>
    </row>
    <row r="15" spans="2:6">
      <c r="B15" t="s">
        <v>17</v>
      </c>
    </row>
    <row r="16" spans="2:6">
      <c r="B16" t="s">
        <v>18</v>
      </c>
    </row>
    <row r="17" spans="2:3">
      <c r="C17" t="s">
        <v>23</v>
      </c>
    </row>
    <row r="18" spans="2:3">
      <c r="C18" t="s">
        <v>19</v>
      </c>
    </row>
    <row r="19" spans="2:3">
      <c r="C19" t="s">
        <v>20</v>
      </c>
    </row>
    <row r="20" spans="2:3">
      <c r="C20" t="s">
        <v>21</v>
      </c>
    </row>
    <row r="21" spans="2:3">
      <c r="C21" t="s">
        <v>22</v>
      </c>
    </row>
    <row r="22" spans="2:3">
      <c r="C22" t="s">
        <v>24</v>
      </c>
    </row>
    <row r="24" spans="2:3">
      <c r="B24" t="s">
        <v>25</v>
      </c>
    </row>
    <row r="25" spans="2:3">
      <c r="C25" t="s">
        <v>26</v>
      </c>
    </row>
    <row r="26" spans="2:3">
      <c r="C26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1F60-7C8F-492C-A637-65F815DC895B}">
  <dimension ref="A1:B7"/>
  <sheetViews>
    <sheetView zoomScale="205" zoomScaleNormal="205" workbookViewId="0">
      <selection activeCell="B7" sqref="B7"/>
    </sheetView>
  </sheetViews>
  <sheetFormatPr defaultRowHeight="14.5"/>
  <cols>
    <col min="1" max="1" width="9.90625" customWidth="1"/>
    <col min="2" max="2" width="10.90625" customWidth="1"/>
  </cols>
  <sheetData>
    <row r="1" spans="1:2">
      <c r="A1" t="s">
        <v>28</v>
      </c>
      <c r="B1" t="s">
        <v>29</v>
      </c>
    </row>
    <row r="2" spans="1:2">
      <c r="A2" t="s">
        <v>30</v>
      </c>
      <c r="B2" t="s">
        <v>36</v>
      </c>
    </row>
    <row r="3" spans="1:2">
      <c r="A3" t="s">
        <v>31</v>
      </c>
      <c r="B3" t="s">
        <v>37</v>
      </c>
    </row>
    <row r="4" spans="1:2">
      <c r="A4" t="s">
        <v>32</v>
      </c>
      <c r="B4" t="s">
        <v>38</v>
      </c>
    </row>
    <row r="5" spans="1:2">
      <c r="A5" t="s">
        <v>33</v>
      </c>
      <c r="B5" t="s">
        <v>39</v>
      </c>
    </row>
    <row r="6" spans="1:2">
      <c r="A6" t="s">
        <v>34</v>
      </c>
      <c r="B6" t="s">
        <v>40</v>
      </c>
    </row>
    <row r="7" spans="1:2">
      <c r="A7" t="s">
        <v>35</v>
      </c>
      <c r="B7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F32F8-CA50-4AE8-BA5B-9FEF57AD96B9}">
  <dimension ref="A2:J33"/>
  <sheetViews>
    <sheetView topLeftCell="A23" zoomScale="160" zoomScaleNormal="160" workbookViewId="0">
      <selection activeCell="A36" sqref="A35:A36"/>
    </sheetView>
  </sheetViews>
  <sheetFormatPr defaultRowHeight="14.5"/>
  <cols>
    <col min="1" max="1" width="27.453125" bestFit="1" customWidth="1"/>
    <col min="2" max="2" width="13.6328125" customWidth="1"/>
    <col min="3" max="3" width="25.453125" customWidth="1"/>
    <col min="4" max="4" width="9.81640625" bestFit="1" customWidth="1"/>
    <col min="5" max="6" width="12" bestFit="1" customWidth="1"/>
    <col min="7" max="7" width="13.453125" bestFit="1" customWidth="1"/>
    <col min="8" max="8" width="12" customWidth="1"/>
    <col min="9" max="9" width="13.81640625" bestFit="1" customWidth="1"/>
  </cols>
  <sheetData>
    <row r="2" spans="1:3" ht="15" thickBot="1"/>
    <row r="3" spans="1:3" ht="15" thickBot="1">
      <c r="A3" s="2" t="s">
        <v>43</v>
      </c>
      <c r="B3" s="2" t="s">
        <v>44</v>
      </c>
      <c r="C3" s="2" t="s">
        <v>45</v>
      </c>
    </row>
    <row r="4" spans="1:3" ht="28.5" thickBot="1">
      <c r="A4" s="3" t="s">
        <v>60</v>
      </c>
      <c r="B4" s="3" t="s">
        <v>46</v>
      </c>
      <c r="C4" s="4" t="s">
        <v>47</v>
      </c>
    </row>
    <row r="5" spans="1:3" ht="28.5" thickBot="1">
      <c r="A5" s="3" t="s">
        <v>48</v>
      </c>
      <c r="B5" s="3" t="s">
        <v>49</v>
      </c>
      <c r="C5" s="4" t="s">
        <v>50</v>
      </c>
    </row>
    <row r="6" spans="1:3" ht="28.5" thickBot="1">
      <c r="A6" s="3" t="s">
        <v>51</v>
      </c>
      <c r="B6" s="3" t="s">
        <v>52</v>
      </c>
      <c r="C6" s="4" t="s">
        <v>62</v>
      </c>
    </row>
    <row r="7" spans="1:3" ht="28.5" thickBot="1">
      <c r="A7" s="3" t="s">
        <v>53</v>
      </c>
      <c r="B7" s="3" t="s">
        <v>52</v>
      </c>
      <c r="C7" s="4" t="s">
        <v>63</v>
      </c>
    </row>
    <row r="8" spans="1:3" ht="29" thickBot="1">
      <c r="A8" s="3" t="s">
        <v>54</v>
      </c>
      <c r="B8" s="3" t="s">
        <v>52</v>
      </c>
      <c r="C8" s="4" t="s">
        <v>55</v>
      </c>
    </row>
    <row r="9" spans="1:3" ht="15" thickBot="1">
      <c r="A9" s="3" t="s">
        <v>56</v>
      </c>
      <c r="B9" s="3" t="s">
        <v>52</v>
      </c>
      <c r="C9" s="4" t="s">
        <v>61</v>
      </c>
    </row>
    <row r="10" spans="1:3" ht="28.5" thickBot="1">
      <c r="A10" s="3" t="s">
        <v>57</v>
      </c>
      <c r="B10" s="3" t="s">
        <v>58</v>
      </c>
      <c r="C10" s="4" t="s">
        <v>59</v>
      </c>
    </row>
    <row r="14" spans="1:3">
      <c r="A14" t="s">
        <v>42</v>
      </c>
      <c r="B14" s="5">
        <v>1</v>
      </c>
    </row>
    <row r="15" spans="1:3">
      <c r="A15" t="s">
        <v>64</v>
      </c>
      <c r="B15">
        <v>0.01</v>
      </c>
    </row>
    <row r="16" spans="1:3">
      <c r="A16" s="1" t="s">
        <v>73</v>
      </c>
    </row>
    <row r="17" spans="1:10">
      <c r="A17" t="s">
        <v>60</v>
      </c>
      <c r="B17" t="s">
        <v>48</v>
      </c>
      <c r="C17" t="s">
        <v>51</v>
      </c>
      <c r="D17" t="s">
        <v>53</v>
      </c>
      <c r="E17" t="s">
        <v>54</v>
      </c>
      <c r="F17" t="s">
        <v>71</v>
      </c>
    </row>
    <row r="21" spans="1:10">
      <c r="A21" s="1" t="s">
        <v>74</v>
      </c>
    </row>
    <row r="22" spans="1:10">
      <c r="A22" t="s">
        <v>76</v>
      </c>
      <c r="B22" t="s">
        <v>77</v>
      </c>
      <c r="C22" t="s">
        <v>60</v>
      </c>
      <c r="D22" t="s">
        <v>78</v>
      </c>
      <c r="E22" t="s">
        <v>65</v>
      </c>
      <c r="F22" t="s">
        <v>72</v>
      </c>
      <c r="G22" t="s">
        <v>80</v>
      </c>
      <c r="H22" t="s">
        <v>79</v>
      </c>
      <c r="I22" t="s">
        <v>81</v>
      </c>
      <c r="J22" t="s">
        <v>82</v>
      </c>
    </row>
    <row r="26" spans="1:10">
      <c r="A26" s="1" t="s">
        <v>75</v>
      </c>
    </row>
    <row r="27" spans="1:10">
      <c r="A27" t="s">
        <v>76</v>
      </c>
      <c r="B27" t="s">
        <v>77</v>
      </c>
      <c r="C27" t="s">
        <v>83</v>
      </c>
      <c r="D27" t="s">
        <v>60</v>
      </c>
      <c r="E27" t="s">
        <v>78</v>
      </c>
      <c r="F27" t="s">
        <v>65</v>
      </c>
      <c r="G27" t="s">
        <v>72</v>
      </c>
    </row>
    <row r="29" spans="1:10">
      <c r="A29" t="s">
        <v>84</v>
      </c>
    </row>
    <row r="30" spans="1:10">
      <c r="A30" t="s">
        <v>85</v>
      </c>
      <c r="B30" t="s">
        <v>76</v>
      </c>
      <c r="C30" t="s">
        <v>86</v>
      </c>
    </row>
    <row r="32" spans="1:10">
      <c r="A32" t="s">
        <v>88</v>
      </c>
    </row>
    <row r="33" spans="1:4">
      <c r="A33" t="s">
        <v>76</v>
      </c>
      <c r="B33" t="s">
        <v>60</v>
      </c>
      <c r="C33" t="s">
        <v>87</v>
      </c>
      <c r="D33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AB284-8C0D-43AF-8DE1-802E90F55DC2}">
  <dimension ref="A1:E9"/>
  <sheetViews>
    <sheetView zoomScale="220" zoomScaleNormal="220" workbookViewId="0">
      <selection activeCell="D2" sqref="D2"/>
    </sheetView>
  </sheetViews>
  <sheetFormatPr defaultRowHeight="14.5"/>
  <cols>
    <col min="1" max="1" width="11.6328125" bestFit="1" customWidth="1"/>
    <col min="2" max="2" width="21.36328125" customWidth="1"/>
    <col min="3" max="3" width="13.90625" bestFit="1" customWidth="1"/>
    <col min="4" max="4" width="13.26953125" bestFit="1" customWidth="1"/>
    <col min="5" max="5" width="10.7265625" customWidth="1"/>
  </cols>
  <sheetData>
    <row r="1" spans="1:5">
      <c r="A1" t="s">
        <v>42</v>
      </c>
      <c r="B1">
        <v>0.01</v>
      </c>
    </row>
    <row r="2" spans="1:5">
      <c r="A2" t="s">
        <v>64</v>
      </c>
      <c r="B2">
        <v>1E-3</v>
      </c>
    </row>
    <row r="3" spans="1:5">
      <c r="A3" t="s">
        <v>66</v>
      </c>
      <c r="B3" t="s">
        <v>67</v>
      </c>
      <c r="C3" t="s">
        <v>68</v>
      </c>
      <c r="D3" t="s">
        <v>69</v>
      </c>
      <c r="E3" t="s">
        <v>70</v>
      </c>
    </row>
    <row r="4" spans="1:5">
      <c r="A4" s="8">
        <v>100</v>
      </c>
      <c r="B4" s="12">
        <f>(-B1+SQRT(B1^2+2*B2*A4))/B2</f>
        <v>437.32538492690082</v>
      </c>
      <c r="C4" s="9">
        <f>B1 + (D4 * B2)</f>
        <v>0.44732538492690083</v>
      </c>
      <c r="D4" s="7">
        <f>B4</f>
        <v>437.32538492690082</v>
      </c>
      <c r="E4" s="10">
        <f>A4</f>
        <v>100</v>
      </c>
    </row>
    <row r="5" spans="1:5">
      <c r="A5" s="8">
        <v>5</v>
      </c>
      <c r="B5" s="6">
        <f>(-C4+SQRT(C4^2+2*$B$2*A5))/$B$2</f>
        <v>11.041280527732788</v>
      </c>
      <c r="C5" s="9">
        <f>B$1+(D5*B$2)</f>
        <v>0.45836666545463361</v>
      </c>
      <c r="D5" s="7">
        <f>D4+B5</f>
        <v>448.36666545463362</v>
      </c>
      <c r="E5" s="10">
        <f>E4+A5</f>
        <v>105</v>
      </c>
    </row>
    <row r="6" spans="1:5">
      <c r="A6" s="8">
        <v>5</v>
      </c>
      <c r="B6" s="6">
        <f>(-C5+SQRT(C5^2+2*$B$2*A6))/$B$2</f>
        <v>10.781498774962428</v>
      </c>
      <c r="C6" s="9">
        <f>B$1+(D6*B$2)</f>
        <v>0.46914816422959604</v>
      </c>
      <c r="D6" s="7">
        <f>D5+B6</f>
        <v>459.14816422959603</v>
      </c>
      <c r="E6" s="10">
        <f>E5+A6</f>
        <v>110</v>
      </c>
    </row>
    <row r="7" spans="1:5">
      <c r="A7" s="8">
        <v>5</v>
      </c>
      <c r="B7" s="6">
        <f>(-C6+SQRT(C6^2+2*$B$2*A7))/$B$2</f>
        <v>10.539233978862249</v>
      </c>
      <c r="C7" s="9">
        <f>B$1+(D7*B$2)</f>
        <v>0.47968739820845829</v>
      </c>
      <c r="D7" s="7">
        <f>D6+B7</f>
        <v>469.68739820845826</v>
      </c>
      <c r="E7" s="10">
        <f>E6+A7</f>
        <v>115</v>
      </c>
    </row>
    <row r="8" spans="1:5">
      <c r="B8" s="7"/>
    </row>
    <row r="9" spans="1:5">
      <c r="B9" s="7"/>
      <c r="C9" s="11">
        <f>C7/B1</f>
        <v>47.968739820845826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 Davenport</dc:creator>
  <cp:lastModifiedBy>Aiden Davenport</cp:lastModifiedBy>
  <dcterms:created xsi:type="dcterms:W3CDTF">2026-02-04T14:58:51Z</dcterms:created>
  <dcterms:modified xsi:type="dcterms:W3CDTF">2026-02-05T22:51:52Z</dcterms:modified>
</cp:coreProperties>
</file>